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<sst xmlns="http://schemas.openxmlformats.org/spreadsheetml/2006/main" count="136" uniqueCount="85">
  <si>
    <t>WNN from Cell Ranger ARC reanalyze on RNA-Harmony and ATAC-Harmony</t>
  </si>
  <si>
    <t>Sample cluster &lt; 10 cells</t>
  </si>
  <si>
    <t>Leiden r2 knn=30</t>
  </si>
  <si>
    <t>Total cells by cluster &lt; 1000</t>
  </si>
  <si>
    <t>EDA for percentage of neurons, habenula and thalamus</t>
  </si>
  <si>
    <t>Percenatge of cell-types &lt; 2%</t>
  </si>
  <si>
    <t xml:space="preserve">Dataset: RNA log-normalized with harmony; and ATAC-LSI with Harmony </t>
  </si>
  <si>
    <t>Clusters with ONLY one cell-type</t>
  </si>
  <si>
    <t>Reference: Integrated (Data-Driven and Literature-Based) gene markers reference (469 genes with no repetetitions)</t>
  </si>
  <si>
    <t>Hb gene-markes domains the cluster</t>
  </si>
  <si>
    <t>text in green</t>
  </si>
  <si>
    <t>Have Hb mixed with other cell-types</t>
  </si>
  <si>
    <t>Top 50 DEG (Wilcox test)</t>
  </si>
  <si>
    <t>All_clusters</t>
  </si>
  <si>
    <t>S03_Hb_r</t>
  </si>
  <si>
    <t>S04_Hb_r</t>
  </si>
  <si>
    <t>S05_Hb_r</t>
  </si>
  <si>
    <t>S06_Hb_r</t>
  </si>
  <si>
    <t>S07_Hb_r</t>
  </si>
  <si>
    <t>S08_Hb_r</t>
  </si>
  <si>
    <t>S09_Hb_r</t>
  </si>
  <si>
    <t>S10_Hb_r</t>
  </si>
  <si>
    <t>S11_Hb_r</t>
  </si>
  <si>
    <t>S12_Hb_r</t>
  </si>
  <si>
    <t>total_clust.x</t>
  </si>
  <si>
    <t>Perc.Cluster</t>
  </si>
  <si>
    <t>cell_types</t>
  </si>
  <si>
    <t>DD_Inhib.Thal (10), DD_LHb (1), LB_excitatory_neuron (1), LB_inhibitory_neuron (2), LB_Thalamus/MDm (1)</t>
  </si>
  <si>
    <t>DD_Oligo (5), LB_neuron (2), LB_oligodendrocyte (1)</t>
  </si>
  <si>
    <t>DD_Astrocyte (1), DD_Endo (4), DD_Excit.Thal (1)</t>
  </si>
  <si>
    <t>DD_Excit.Thal (6), DD_Inhib.Thal (1), DD_LHb (2), DD_OPC (1), LB_LHB neuron specific (1)</t>
  </si>
  <si>
    <t>Hb_5</t>
  </si>
  <si>
    <t>DD_Excit.Thal (1), DD_LHb (10), LB_Hb neuron specific (2), LB_LHB neuron specific (1)</t>
  </si>
  <si>
    <t>DD_Excit.Thal (6), DD_OPC (1)</t>
  </si>
  <si>
    <t>Hb_7</t>
  </si>
  <si>
    <t>DD_MHb (10), DD_OPC (1), LB_Hb neuron specific (1)</t>
  </si>
  <si>
    <t>DD_Astrocyte (1), DD_Excit.Thal (3), DD_Inhib.Thal (1), DD_LHb (7), DD_OPC (1)</t>
  </si>
  <si>
    <t>DD_Excit.Thal (4), DD_OPC (4)</t>
  </si>
  <si>
    <t>Hb_10</t>
  </si>
  <si>
    <t>DD_Excit.Thal (1), DD_LHb (1), DD_MHb (7), DD_OPC (1), LB_Hb neuron specific (2)</t>
  </si>
  <si>
    <t>Hb_11</t>
  </si>
  <si>
    <t>DD_Excit.Thal (1), DD_MHb (17), LB_Hb neuron specific (1)</t>
  </si>
  <si>
    <t>DD_Excit.Thal (5), DD_Inhib.Thal (1), DD_LHb (3), DD_OPC (1)</t>
  </si>
  <si>
    <t>NA</t>
  </si>
  <si>
    <t>Hb_14</t>
  </si>
  <si>
    <t>DD_Excit.Thal (1), DD_MHb (9), LB_MHB neuron specific (1)</t>
  </si>
  <si>
    <t>DD_Endo (2), DD_Excit.Thal (8), LB_Thalamus broad (1)</t>
  </si>
  <si>
    <t>Hb_16</t>
  </si>
  <si>
    <t>DD_Excit.Thal (1), DD_LHb (2), DD_MHb (8), LB_Hb neuron specific (1)</t>
  </si>
  <si>
    <t>DD_Excit.Thal (11), LB_excitatory_neuron (1), LB_Hb neuron specific (1), LB_Thalamus broad (1)</t>
  </si>
  <si>
    <t>Hb_18</t>
  </si>
  <si>
    <t>DD_Endo (1), DD_Excit.Thal (1), DD_Inhib.Thal (1), DD_LHb (11), LB_LHB neuron specific (2)</t>
  </si>
  <si>
    <t>DD_Inhib.Thal (13), LB_inhibitory_neuron (2), LB_Thalamus/MDm (1)</t>
  </si>
  <si>
    <t>DD_Astrocyte (14), LB_astrocyte (2), LB_neuron (1)</t>
  </si>
  <si>
    <t>DD_Astrocyte (3), DD_Excit.Thal (1), LB_astrocyte (1)</t>
  </si>
  <si>
    <t>DD_Oligo (2), LB_neuron (2), LB_oligodendrocyte (1)</t>
  </si>
  <si>
    <t>Hb_23</t>
  </si>
  <si>
    <t>DD_LHb (7), LB_LHB neuron specific (2)</t>
  </si>
  <si>
    <t>Hb_24</t>
  </si>
  <si>
    <t>DD_LHb (8), DD_MHb (4)</t>
  </si>
  <si>
    <t>DD_Excit.Thal (1), DD_OPC (1)</t>
  </si>
  <si>
    <t>DD_OPC (15), LB_neuron (1), LB_oligodendrocyte_precursor (2)</t>
  </si>
  <si>
    <t>DD_Microglia (14), LB_microglia (2)</t>
  </si>
  <si>
    <t>DD_Inhib.Thal (15), LB_inhibitory_neuron (2), LB_neuron (1), LB_Thalamus/MDm (1)</t>
  </si>
  <si>
    <t>DD_Endo (12), LB_Endo/CP (2)</t>
  </si>
  <si>
    <t>Hb_30</t>
  </si>
  <si>
    <t>DD_LHb (11), LB_Hb neuron specific (1), LB_LHB neuron specific (2)</t>
  </si>
  <si>
    <t>DD_Excit.Thal (6), LB_Endo/CP (1)</t>
  </si>
  <si>
    <t>DD_Endo (1), DD_Excit.Thal (3), DD_LHb (2), DD_MHb (1), DD_OPC (1)</t>
  </si>
  <si>
    <t>Hb_33</t>
  </si>
  <si>
    <t>*** DD_LHb (6)</t>
  </si>
  <si>
    <t>DD_Oligo (17), LB_oligodendrocyte (1)</t>
  </si>
  <si>
    <t>DD_Astrocyte (1), DD_Endo (1), DD_Excit.Thal (6), DD_OPC (2), LB_Endo/CP (1)</t>
  </si>
  <si>
    <t>Hb_36</t>
  </si>
  <si>
    <t>DD_Endo (1), DD_Excit.Thal (1), DD_MHb (6)</t>
  </si>
  <si>
    <t>DD_Astrocyte (1), DD_Endo (3), DD_Inhib.Thal (2), LB_inhibitory_neuron (1)</t>
  </si>
  <si>
    <t>DD_Inhib.Thal (15), LB_inhibitory_neuron (2), LB_Thalamus/MDm (1)</t>
  </si>
  <si>
    <t>DD_Inhib.Thal (11), LB_inhibitory_neuron (2), LB_Thalamus/MDm (1)</t>
  </si>
  <si>
    <t>Hb_40</t>
  </si>
  <si>
    <t>*** DD_LHb (1)</t>
  </si>
  <si>
    <t>DD_Microglia (10), DD_Oligo (7), LB_microglia (2), LB_oligodendrocyte (1)</t>
  </si>
  <si>
    <t>Total.Cells.Sample</t>
  </si>
  <si>
    <t>Total.Cells.ALL</t>
  </si>
  <si>
    <t>Percentage.Sample</t>
  </si>
  <si>
    <t>seurat_clusters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</si>
</sst>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rgb="FFFFFF00"/>
      <name val="Arial"/>
    </font>
    <font>
      <sz val="12.0"/>
      <color theme="1"/>
      <name val="Aptos Narrow"/>
    </font>
    <font>
      <color theme="1"/>
      <name val="Arial"/>
    </font>
    <font>
      <b/>
      <sz val="12.0"/>
      <color theme="1"/>
      <name val="Arial"/>
    </font>
    <font>
      <color rgb="FF38761D"/>
      <name val="Arial"/>
    </font>
    <font>
      <b/>
      <color theme="1"/>
      <name val="Arial"/>
    </font>
    <font>
      <b/>
      <color theme="1"/>
      <name val="Aptos Narrow"/>
    </font>
    <font>
      <color theme="1"/>
      <name val="Aptos Narrow"/>
    </font>
    <font>
      <color rgb="FF6AA84F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</fills>
  <borders count="3">
    <border/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1" fillId="8" fontId="6" numFmtId="0" xfId="0" applyAlignment="1" applyBorder="1" applyFill="1" applyFont="1">
      <alignment horizontal="center" vertical="bottom"/>
    </xf>
    <xf borderId="1" fillId="9" fontId="7" numFmtId="0" xfId="0" applyAlignment="1" applyBorder="1" applyFill="1" applyFont="1">
      <alignment horizontal="center" shrinkToFit="0" vertical="bottom" wrapText="1"/>
    </xf>
    <xf borderId="1" fillId="9" fontId="7" numFmtId="0" xfId="0" applyAlignment="1" applyBorder="1" applyFont="1">
      <alignment vertical="bottom"/>
    </xf>
    <xf borderId="1" fillId="9" fontId="6" numFmtId="0" xfId="0" applyAlignment="1" applyBorder="1" applyFont="1">
      <alignment vertical="bottom"/>
    </xf>
    <xf borderId="1" fillId="9" fontId="2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  <xf borderId="0" fillId="0" fontId="8" numFmtId="1" xfId="0" applyAlignment="1" applyFont="1" applyNumberFormat="1">
      <alignment horizontal="center" vertical="bottom"/>
    </xf>
    <xf borderId="0" fillId="0" fontId="8" numFmtId="2" xfId="0" applyAlignment="1" applyFont="1" applyNumberFormat="1">
      <alignment horizontal="center" vertical="bottom"/>
    </xf>
    <xf borderId="0" fillId="10" fontId="3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11" fontId="8" numFmtId="0" xfId="0" applyAlignment="1" applyFill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5" fontId="8" numFmtId="2" xfId="0" applyAlignment="1" applyFont="1" applyNumberFormat="1">
      <alignment horizontal="center" vertical="bottom"/>
    </xf>
    <xf borderId="0" fillId="12" fontId="8" numFmtId="0" xfId="0" applyAlignment="1" applyFill="1" applyFont="1">
      <alignment vertical="bottom"/>
    </xf>
    <xf borderId="2" fillId="0" fontId="7" numFmtId="0" xfId="0" applyAlignment="1" applyBorder="1" applyFont="1">
      <alignment horizontal="center" vertical="bottom"/>
    </xf>
    <xf borderId="2" fillId="11" fontId="8" numFmtId="0" xfId="0" applyAlignment="1" applyBorder="1" applyFont="1">
      <alignment horizontal="right" vertical="bottom"/>
    </xf>
    <xf borderId="2" fillId="0" fontId="8" numFmtId="1" xfId="0" applyAlignment="1" applyBorder="1" applyFont="1" applyNumberFormat="1">
      <alignment horizontal="center" vertical="bottom"/>
    </xf>
    <xf borderId="2" fillId="5" fontId="8" numFmtId="2" xfId="0" applyAlignment="1" applyBorder="1" applyFont="1" applyNumberFormat="1">
      <alignment horizontal="center" vertical="bottom"/>
    </xf>
    <xf borderId="2" fillId="0" fontId="8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4" fontId="8" numFmtId="0" xfId="0" applyAlignment="1" applyFont="1">
      <alignment horizontal="right" vertical="bottom"/>
    </xf>
    <xf borderId="0" fillId="4" fontId="8" numFmtId="2" xfId="0" applyAlignment="1" applyFont="1" applyNumberFormat="1">
      <alignment horizontal="center" vertical="bottom"/>
    </xf>
    <xf borderId="2" fillId="0" fontId="6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right" vertical="bottom"/>
    </xf>
    <xf borderId="2" fillId="12" fontId="8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4"/>
      <c r="M1" s="5" t="s">
        <v>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7"/>
      <c r="M2" s="5" t="s">
        <v>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8"/>
      <c r="M3" s="5" t="s">
        <v>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9"/>
      <c r="M4" s="5" t="s">
        <v>7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10"/>
      <c r="M5" s="5" t="s">
        <v>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11" t="s">
        <v>10</v>
      </c>
      <c r="M6" s="5" t="s">
        <v>11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 t="s">
        <v>13</v>
      </c>
      <c r="B11" s="13" t="s">
        <v>14</v>
      </c>
      <c r="C11" s="14" t="s">
        <v>15</v>
      </c>
      <c r="D11" s="14" t="s">
        <v>16</v>
      </c>
      <c r="E11" s="14" t="s">
        <v>17</v>
      </c>
      <c r="F11" s="14" t="s">
        <v>18</v>
      </c>
      <c r="G11" s="14" t="s">
        <v>19</v>
      </c>
      <c r="H11" s="14" t="s">
        <v>20</v>
      </c>
      <c r="I11" s="14" t="s">
        <v>21</v>
      </c>
      <c r="J11" s="14" t="s">
        <v>22</v>
      </c>
      <c r="K11" s="14" t="s">
        <v>23</v>
      </c>
      <c r="L11" s="14" t="s">
        <v>24</v>
      </c>
      <c r="M11" s="15" t="s">
        <v>25</v>
      </c>
      <c r="N11" s="14" t="s">
        <v>26</v>
      </c>
      <c r="O11" s="16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>
        <v>1.0</v>
      </c>
      <c r="B12" s="18">
        <v>966.0</v>
      </c>
      <c r="C12" s="18">
        <v>597.0</v>
      </c>
      <c r="D12" s="18">
        <v>296.0</v>
      </c>
      <c r="E12" s="18">
        <v>574.0</v>
      </c>
      <c r="F12" s="18">
        <v>515.0</v>
      </c>
      <c r="G12" s="18">
        <v>245.0</v>
      </c>
      <c r="H12" s="18">
        <v>219.0</v>
      </c>
      <c r="I12" s="18">
        <v>255.0</v>
      </c>
      <c r="J12" s="18">
        <v>137.0</v>
      </c>
      <c r="K12" s="18">
        <v>102.0</v>
      </c>
      <c r="L12" s="19">
        <v>3906.0</v>
      </c>
      <c r="M12" s="20">
        <v>7.012</v>
      </c>
      <c r="N12" s="21" t="s">
        <v>27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>
        <v>2.0</v>
      </c>
      <c r="B13" s="18">
        <v>295.0</v>
      </c>
      <c r="C13" s="18">
        <v>67.0</v>
      </c>
      <c r="D13" s="18">
        <v>90.0</v>
      </c>
      <c r="E13" s="18">
        <v>145.0</v>
      </c>
      <c r="F13" s="18">
        <v>895.0</v>
      </c>
      <c r="G13" s="18">
        <v>373.0</v>
      </c>
      <c r="H13" s="18">
        <v>843.0</v>
      </c>
      <c r="I13" s="18">
        <v>240.0</v>
      </c>
      <c r="J13" s="18">
        <v>323.0</v>
      </c>
      <c r="K13" s="18">
        <v>100.0</v>
      </c>
      <c r="L13" s="19">
        <v>3371.0</v>
      </c>
      <c r="M13" s="20">
        <v>6.052</v>
      </c>
      <c r="N13" s="22" t="s">
        <v>28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>
        <v>3.0</v>
      </c>
      <c r="B14" s="18">
        <v>255.0</v>
      </c>
      <c r="C14" s="23">
        <v>6.0</v>
      </c>
      <c r="D14" s="18">
        <v>368.0</v>
      </c>
      <c r="E14" s="18">
        <v>446.0</v>
      </c>
      <c r="F14" s="18">
        <v>125.0</v>
      </c>
      <c r="G14" s="18">
        <v>13.0</v>
      </c>
      <c r="H14" s="18">
        <v>1902.0</v>
      </c>
      <c r="I14" s="18">
        <v>143.0</v>
      </c>
      <c r="J14" s="18">
        <v>10.0</v>
      </c>
      <c r="K14" s="23">
        <v>3.0</v>
      </c>
      <c r="L14" s="19">
        <v>3271.0</v>
      </c>
      <c r="M14" s="20">
        <v>5.872</v>
      </c>
      <c r="N14" s="22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>
        <v>4.0</v>
      </c>
      <c r="B15" s="23">
        <v>9.0</v>
      </c>
      <c r="C15" s="18">
        <v>2048.0</v>
      </c>
      <c r="D15" s="18">
        <v>72.0</v>
      </c>
      <c r="E15" s="18">
        <v>54.0</v>
      </c>
      <c r="F15" s="18">
        <v>144.0</v>
      </c>
      <c r="G15" s="18">
        <v>295.0</v>
      </c>
      <c r="H15" s="23">
        <v>7.0</v>
      </c>
      <c r="I15" s="18">
        <v>46.0</v>
      </c>
      <c r="J15" s="18">
        <v>82.0</v>
      </c>
      <c r="K15" s="18">
        <v>154.0</v>
      </c>
      <c r="L15" s="19">
        <v>2911.0</v>
      </c>
      <c r="M15" s="20">
        <v>5.226</v>
      </c>
      <c r="N15" s="21" t="s">
        <v>30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4" t="s">
        <v>31</v>
      </c>
      <c r="B16" s="18">
        <v>59.0</v>
      </c>
      <c r="C16" s="23">
        <v>6.0</v>
      </c>
      <c r="D16" s="23">
        <v>2.0</v>
      </c>
      <c r="E16" s="18">
        <v>149.0</v>
      </c>
      <c r="F16" s="18">
        <v>267.0</v>
      </c>
      <c r="G16" s="18">
        <v>573.0</v>
      </c>
      <c r="H16" s="18">
        <v>19.0</v>
      </c>
      <c r="I16" s="18">
        <v>779.0</v>
      </c>
      <c r="J16" s="18">
        <v>596.0</v>
      </c>
      <c r="K16" s="18">
        <v>321.0</v>
      </c>
      <c r="L16" s="19">
        <v>2771.0</v>
      </c>
      <c r="M16" s="20">
        <v>4.975</v>
      </c>
      <c r="N16" s="25" t="s">
        <v>32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4">
        <v>6.0</v>
      </c>
      <c r="B17" s="23">
        <v>3.0</v>
      </c>
      <c r="C17" s="18">
        <v>1009.0</v>
      </c>
      <c r="D17" s="18">
        <v>116.0</v>
      </c>
      <c r="E17" s="18">
        <v>398.0</v>
      </c>
      <c r="F17" s="18">
        <v>229.0</v>
      </c>
      <c r="G17" s="18">
        <v>324.0</v>
      </c>
      <c r="H17" s="18">
        <v>62.0</v>
      </c>
      <c r="I17" s="18">
        <v>221.0</v>
      </c>
      <c r="J17" s="18">
        <v>171.0</v>
      </c>
      <c r="K17" s="18">
        <v>134.0</v>
      </c>
      <c r="L17" s="19">
        <v>2667.0</v>
      </c>
      <c r="M17" s="20">
        <v>4.788</v>
      </c>
      <c r="N17" s="22" t="s">
        <v>33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4" t="s">
        <v>34</v>
      </c>
      <c r="B18" s="18">
        <v>144.0</v>
      </c>
      <c r="C18" s="23">
        <v>2.0</v>
      </c>
      <c r="D18" s="23">
        <v>3.0</v>
      </c>
      <c r="E18" s="23">
        <v>7.0</v>
      </c>
      <c r="F18" s="18">
        <v>798.0</v>
      </c>
      <c r="G18" s="18">
        <v>319.0</v>
      </c>
      <c r="H18" s="18">
        <v>14.0</v>
      </c>
      <c r="I18" s="18">
        <v>418.0</v>
      </c>
      <c r="J18" s="18">
        <v>286.0</v>
      </c>
      <c r="K18" s="18">
        <v>619.0</v>
      </c>
      <c r="L18" s="19">
        <v>2610.0</v>
      </c>
      <c r="M18" s="20">
        <v>4.686</v>
      </c>
      <c r="N18" s="25" t="s">
        <v>35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4">
        <v>8.0</v>
      </c>
      <c r="B19" s="18">
        <v>21.0</v>
      </c>
      <c r="C19" s="18">
        <v>105.0</v>
      </c>
      <c r="D19" s="18">
        <v>16.0</v>
      </c>
      <c r="E19" s="18">
        <v>134.0</v>
      </c>
      <c r="F19" s="18">
        <v>272.0</v>
      </c>
      <c r="G19" s="18">
        <v>209.0</v>
      </c>
      <c r="H19" s="18">
        <v>116.0</v>
      </c>
      <c r="I19" s="18">
        <v>364.0</v>
      </c>
      <c r="J19" s="18">
        <v>918.0</v>
      </c>
      <c r="K19" s="18">
        <v>382.0</v>
      </c>
      <c r="L19" s="19">
        <v>2537.0</v>
      </c>
      <c r="M19" s="20">
        <v>4.555</v>
      </c>
      <c r="N19" s="22" t="s">
        <v>36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4">
        <v>9.0</v>
      </c>
      <c r="B20" s="18">
        <v>67.0</v>
      </c>
      <c r="C20" s="18">
        <v>587.0</v>
      </c>
      <c r="D20" s="18">
        <v>57.0</v>
      </c>
      <c r="E20" s="18">
        <v>91.0</v>
      </c>
      <c r="F20" s="18">
        <v>549.0</v>
      </c>
      <c r="G20" s="18">
        <v>381.0</v>
      </c>
      <c r="H20" s="18">
        <v>70.0</v>
      </c>
      <c r="I20" s="18">
        <v>139.0</v>
      </c>
      <c r="J20" s="18">
        <v>123.0</v>
      </c>
      <c r="K20" s="18">
        <v>366.0</v>
      </c>
      <c r="L20" s="19">
        <v>2430.0</v>
      </c>
      <c r="M20" s="20">
        <v>4.363</v>
      </c>
      <c r="N20" s="22" t="s">
        <v>37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4" t="s">
        <v>38</v>
      </c>
      <c r="B21" s="18">
        <v>78.0</v>
      </c>
      <c r="C21" s="23">
        <v>0.0</v>
      </c>
      <c r="D21" s="23">
        <v>1.0</v>
      </c>
      <c r="E21" s="23">
        <v>4.0</v>
      </c>
      <c r="F21" s="18">
        <v>290.0</v>
      </c>
      <c r="G21" s="18">
        <v>300.0</v>
      </c>
      <c r="H21" s="18">
        <v>11.0</v>
      </c>
      <c r="I21" s="18">
        <v>532.0</v>
      </c>
      <c r="J21" s="18">
        <v>799.0</v>
      </c>
      <c r="K21" s="18">
        <v>329.0</v>
      </c>
      <c r="L21" s="19">
        <v>2344.0</v>
      </c>
      <c r="M21" s="20">
        <v>4.208</v>
      </c>
      <c r="N21" s="25" t="s">
        <v>39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4" t="s">
        <v>40</v>
      </c>
      <c r="B22" s="18">
        <v>47.0</v>
      </c>
      <c r="C22" s="18">
        <v>28.0</v>
      </c>
      <c r="D22" s="18">
        <v>17.0</v>
      </c>
      <c r="E22" s="18">
        <v>13.0</v>
      </c>
      <c r="F22" s="18">
        <v>700.0</v>
      </c>
      <c r="G22" s="18">
        <v>162.0</v>
      </c>
      <c r="H22" s="18">
        <v>30.0</v>
      </c>
      <c r="I22" s="18">
        <v>151.0</v>
      </c>
      <c r="J22" s="18">
        <v>583.0</v>
      </c>
      <c r="K22" s="18">
        <v>481.0</v>
      </c>
      <c r="L22" s="19">
        <v>2212.0</v>
      </c>
      <c r="M22" s="20">
        <v>3.971</v>
      </c>
      <c r="N22" s="25" t="s">
        <v>41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7">
        <v>12.0</v>
      </c>
      <c r="B23" s="18">
        <v>249.0</v>
      </c>
      <c r="C23" s="18">
        <v>16.0</v>
      </c>
      <c r="D23" s="18">
        <v>77.0</v>
      </c>
      <c r="E23" s="18">
        <v>1654.0</v>
      </c>
      <c r="F23" s="18">
        <v>95.0</v>
      </c>
      <c r="G23" s="23">
        <v>0.0</v>
      </c>
      <c r="H23" s="18">
        <v>81.0</v>
      </c>
      <c r="I23" s="23">
        <v>4.0</v>
      </c>
      <c r="J23" s="23">
        <v>0.0</v>
      </c>
      <c r="K23" s="18">
        <v>11.0</v>
      </c>
      <c r="L23" s="19">
        <v>2187.0</v>
      </c>
      <c r="M23" s="20">
        <v>3.926</v>
      </c>
      <c r="N23" s="22" t="s">
        <v>42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>
        <v>13.0</v>
      </c>
      <c r="B24" s="23">
        <v>0.0</v>
      </c>
      <c r="C24" s="18">
        <v>1249.0</v>
      </c>
      <c r="D24" s="18">
        <v>96.0</v>
      </c>
      <c r="E24" s="18">
        <v>206.0</v>
      </c>
      <c r="F24" s="18">
        <v>60.0</v>
      </c>
      <c r="G24" s="18">
        <v>213.0</v>
      </c>
      <c r="H24" s="18">
        <v>20.0</v>
      </c>
      <c r="I24" s="18">
        <v>91.0</v>
      </c>
      <c r="J24" s="18">
        <v>52.0</v>
      </c>
      <c r="K24" s="18">
        <v>49.0</v>
      </c>
      <c r="L24" s="19">
        <v>2036.0</v>
      </c>
      <c r="M24" s="20">
        <v>3.655</v>
      </c>
      <c r="N24" s="22" t="s">
        <v>43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4" t="s">
        <v>44</v>
      </c>
      <c r="B25" s="18">
        <v>32.0</v>
      </c>
      <c r="C25" s="18">
        <v>40.0</v>
      </c>
      <c r="D25" s="18">
        <v>12.0</v>
      </c>
      <c r="E25" s="18">
        <v>13.0</v>
      </c>
      <c r="F25" s="18">
        <v>193.0</v>
      </c>
      <c r="G25" s="18">
        <v>182.0</v>
      </c>
      <c r="H25" s="23">
        <v>8.0</v>
      </c>
      <c r="I25" s="18">
        <v>550.0</v>
      </c>
      <c r="J25" s="18">
        <v>744.0</v>
      </c>
      <c r="K25" s="18">
        <v>252.0</v>
      </c>
      <c r="L25" s="19">
        <v>2026.0</v>
      </c>
      <c r="M25" s="20">
        <v>3.637</v>
      </c>
      <c r="N25" s="25" t="s">
        <v>45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7">
        <v>15.0</v>
      </c>
      <c r="B26" s="18">
        <v>70.0</v>
      </c>
      <c r="C26" s="23">
        <v>7.0</v>
      </c>
      <c r="D26" s="18">
        <v>96.0</v>
      </c>
      <c r="E26" s="18">
        <v>610.0</v>
      </c>
      <c r="F26" s="18">
        <v>125.0</v>
      </c>
      <c r="G26" s="23">
        <v>7.0</v>
      </c>
      <c r="H26" s="18">
        <v>545.0</v>
      </c>
      <c r="I26" s="18">
        <v>138.0</v>
      </c>
      <c r="J26" s="18">
        <v>24.0</v>
      </c>
      <c r="K26" s="23">
        <v>3.0</v>
      </c>
      <c r="L26" s="19">
        <v>1625.0</v>
      </c>
      <c r="M26" s="20">
        <v>2.917</v>
      </c>
      <c r="N26" s="22" t="s">
        <v>46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4" t="s">
        <v>47</v>
      </c>
      <c r="B27" s="18">
        <v>15.0</v>
      </c>
      <c r="C27" s="23">
        <v>0.0</v>
      </c>
      <c r="D27" s="23">
        <v>0.0</v>
      </c>
      <c r="E27" s="23">
        <v>3.0</v>
      </c>
      <c r="F27" s="18">
        <v>175.0</v>
      </c>
      <c r="G27" s="18">
        <v>361.0</v>
      </c>
      <c r="H27" s="23">
        <v>4.0</v>
      </c>
      <c r="I27" s="18">
        <v>323.0</v>
      </c>
      <c r="J27" s="18">
        <v>650.0</v>
      </c>
      <c r="K27" s="18">
        <v>76.0</v>
      </c>
      <c r="L27" s="19">
        <v>1607.0</v>
      </c>
      <c r="M27" s="20">
        <v>2.885</v>
      </c>
      <c r="N27" s="25" t="s">
        <v>48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7">
        <v>17.0</v>
      </c>
      <c r="B28" s="18">
        <v>66.0</v>
      </c>
      <c r="C28" s="18">
        <v>78.0</v>
      </c>
      <c r="D28" s="18">
        <v>89.0</v>
      </c>
      <c r="E28" s="18">
        <v>319.0</v>
      </c>
      <c r="F28" s="18">
        <v>232.0</v>
      </c>
      <c r="G28" s="18">
        <v>20.0</v>
      </c>
      <c r="H28" s="18">
        <v>653.0</v>
      </c>
      <c r="I28" s="18">
        <v>52.0</v>
      </c>
      <c r="J28" s="23">
        <v>8.0</v>
      </c>
      <c r="K28" s="18">
        <v>70.0</v>
      </c>
      <c r="L28" s="19">
        <v>1587.0</v>
      </c>
      <c r="M28" s="20">
        <v>2.849</v>
      </c>
      <c r="N28" s="22" t="s">
        <v>49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4" t="s">
        <v>50</v>
      </c>
      <c r="B29" s="18">
        <v>27.0</v>
      </c>
      <c r="C29" s="23">
        <v>9.0</v>
      </c>
      <c r="D29" s="23">
        <v>1.0</v>
      </c>
      <c r="E29" s="18">
        <v>92.0</v>
      </c>
      <c r="F29" s="18">
        <v>76.0</v>
      </c>
      <c r="G29" s="18">
        <v>185.0</v>
      </c>
      <c r="H29" s="18">
        <v>11.0</v>
      </c>
      <c r="I29" s="18">
        <v>300.0</v>
      </c>
      <c r="J29" s="18">
        <v>714.0</v>
      </c>
      <c r="K29" s="18">
        <v>120.0</v>
      </c>
      <c r="L29" s="19">
        <v>1535.0</v>
      </c>
      <c r="M29" s="20">
        <v>2.756</v>
      </c>
      <c r="N29" s="25" t="s">
        <v>51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7">
        <v>19.0</v>
      </c>
      <c r="B30" s="23">
        <v>1.0</v>
      </c>
      <c r="C30" s="18">
        <v>39.0</v>
      </c>
      <c r="D30" s="23">
        <v>4.0</v>
      </c>
      <c r="E30" s="18">
        <v>1313.0</v>
      </c>
      <c r="F30" s="23">
        <v>5.0</v>
      </c>
      <c r="G30" s="23">
        <v>1.0</v>
      </c>
      <c r="H30" s="18">
        <v>10.0</v>
      </c>
      <c r="I30" s="23">
        <v>1.0</v>
      </c>
      <c r="J30" s="23">
        <v>3.0</v>
      </c>
      <c r="K30" s="23">
        <v>3.0</v>
      </c>
      <c r="L30" s="19">
        <v>1380.0</v>
      </c>
      <c r="M30" s="20">
        <v>2.477</v>
      </c>
      <c r="N30" s="22" t="s">
        <v>52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7">
        <v>20.0</v>
      </c>
      <c r="B31" s="18">
        <v>483.0</v>
      </c>
      <c r="C31" s="18">
        <v>90.0</v>
      </c>
      <c r="D31" s="18">
        <v>26.0</v>
      </c>
      <c r="E31" s="18">
        <v>33.0</v>
      </c>
      <c r="F31" s="18">
        <v>189.0</v>
      </c>
      <c r="G31" s="18">
        <v>70.0</v>
      </c>
      <c r="H31" s="18">
        <v>70.0</v>
      </c>
      <c r="I31" s="18">
        <v>170.0</v>
      </c>
      <c r="J31" s="18">
        <v>172.0</v>
      </c>
      <c r="K31" s="18">
        <v>40.0</v>
      </c>
      <c r="L31" s="19">
        <v>1343.0</v>
      </c>
      <c r="M31" s="20">
        <v>2.411</v>
      </c>
      <c r="N31" s="22" t="s">
        <v>53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7">
        <v>21.0</v>
      </c>
      <c r="B32" s="18">
        <v>101.0</v>
      </c>
      <c r="C32" s="23">
        <v>6.0</v>
      </c>
      <c r="D32" s="18">
        <v>239.0</v>
      </c>
      <c r="E32" s="18">
        <v>21.0</v>
      </c>
      <c r="F32" s="18">
        <v>142.0</v>
      </c>
      <c r="G32" s="18">
        <v>119.0</v>
      </c>
      <c r="H32" s="18">
        <v>40.0</v>
      </c>
      <c r="I32" s="18">
        <v>112.0</v>
      </c>
      <c r="J32" s="18">
        <v>395.0</v>
      </c>
      <c r="K32" s="18">
        <v>166.0</v>
      </c>
      <c r="L32" s="19">
        <v>1341.0</v>
      </c>
      <c r="M32" s="20">
        <v>2.407</v>
      </c>
      <c r="N32" s="22" t="s">
        <v>54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>
        <v>22.0</v>
      </c>
      <c r="B33" s="18">
        <v>705.0</v>
      </c>
      <c r="C33" s="18">
        <v>15.0</v>
      </c>
      <c r="D33" s="18">
        <v>24.0</v>
      </c>
      <c r="E33" s="18">
        <v>31.0</v>
      </c>
      <c r="F33" s="18">
        <v>228.0</v>
      </c>
      <c r="G33" s="18">
        <v>79.0</v>
      </c>
      <c r="H33" s="18">
        <v>121.0</v>
      </c>
      <c r="I33" s="18">
        <v>52.0</v>
      </c>
      <c r="J33" s="18">
        <v>48.0</v>
      </c>
      <c r="K33" s="18">
        <v>24.0</v>
      </c>
      <c r="L33" s="19">
        <v>1327.0</v>
      </c>
      <c r="M33" s="20">
        <v>2.382</v>
      </c>
      <c r="N33" s="22" t="s">
        <v>55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4" t="s">
        <v>56</v>
      </c>
      <c r="B34" s="18">
        <v>20.0</v>
      </c>
      <c r="C34" s="18">
        <v>19.0</v>
      </c>
      <c r="D34" s="18">
        <v>30.0</v>
      </c>
      <c r="E34" s="18">
        <v>176.0</v>
      </c>
      <c r="F34" s="18">
        <v>71.0</v>
      </c>
      <c r="G34" s="18">
        <v>134.0</v>
      </c>
      <c r="H34" s="23">
        <v>2.0</v>
      </c>
      <c r="I34" s="18">
        <v>341.0</v>
      </c>
      <c r="J34" s="18">
        <v>421.0</v>
      </c>
      <c r="K34" s="18">
        <v>55.0</v>
      </c>
      <c r="L34" s="19">
        <v>1269.0</v>
      </c>
      <c r="M34" s="20">
        <v>2.278</v>
      </c>
      <c r="N34" s="25" t="s">
        <v>57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4" t="s">
        <v>58</v>
      </c>
      <c r="B35" s="23">
        <v>4.0</v>
      </c>
      <c r="C35" s="23">
        <v>3.0</v>
      </c>
      <c r="D35" s="23">
        <v>0.0</v>
      </c>
      <c r="E35" s="23">
        <v>1.0</v>
      </c>
      <c r="F35" s="18">
        <v>166.0</v>
      </c>
      <c r="G35" s="18">
        <v>29.0</v>
      </c>
      <c r="H35" s="23">
        <v>1.0</v>
      </c>
      <c r="I35" s="18">
        <v>27.0</v>
      </c>
      <c r="J35" s="18">
        <v>581.0</v>
      </c>
      <c r="K35" s="18">
        <v>13.0</v>
      </c>
      <c r="L35" s="19">
        <v>825.0</v>
      </c>
      <c r="M35" s="26">
        <v>1.481</v>
      </c>
      <c r="N35" s="25" t="s">
        <v>59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7">
        <v>25.0</v>
      </c>
      <c r="B36" s="18">
        <v>10.0</v>
      </c>
      <c r="C36" s="18">
        <v>192.0</v>
      </c>
      <c r="D36" s="18">
        <v>129.0</v>
      </c>
      <c r="E36" s="18">
        <v>261.0</v>
      </c>
      <c r="F36" s="23">
        <v>5.0</v>
      </c>
      <c r="G36" s="18">
        <v>13.0</v>
      </c>
      <c r="H36" s="23">
        <v>2.0</v>
      </c>
      <c r="I36" s="18">
        <v>76.0</v>
      </c>
      <c r="J36" s="23">
        <v>8.0</v>
      </c>
      <c r="K36" s="18">
        <v>11.0</v>
      </c>
      <c r="L36" s="19">
        <v>707.0</v>
      </c>
      <c r="M36" s="26">
        <v>1.269</v>
      </c>
      <c r="N36" s="22" t="s">
        <v>60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>
        <v>26.0</v>
      </c>
      <c r="B37" s="18">
        <v>128.0</v>
      </c>
      <c r="C37" s="18">
        <v>22.0</v>
      </c>
      <c r="D37" s="23">
        <v>8.0</v>
      </c>
      <c r="E37" s="18">
        <v>14.0</v>
      </c>
      <c r="F37" s="18">
        <v>198.0</v>
      </c>
      <c r="G37" s="18">
        <v>21.0</v>
      </c>
      <c r="H37" s="18">
        <v>212.0</v>
      </c>
      <c r="I37" s="18">
        <v>11.0</v>
      </c>
      <c r="J37" s="18">
        <v>16.0</v>
      </c>
      <c r="K37" s="23">
        <v>8.0</v>
      </c>
      <c r="L37" s="19">
        <v>638.0</v>
      </c>
      <c r="M37" s="26">
        <v>1.145</v>
      </c>
      <c r="N37" s="22" t="s">
        <v>61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7">
        <v>27.0</v>
      </c>
      <c r="B38" s="18">
        <v>68.0</v>
      </c>
      <c r="C38" s="18">
        <v>11.0</v>
      </c>
      <c r="D38" s="18">
        <v>37.0</v>
      </c>
      <c r="E38" s="23">
        <v>6.0</v>
      </c>
      <c r="F38" s="18">
        <v>265.0</v>
      </c>
      <c r="G38" s="23">
        <v>3.0</v>
      </c>
      <c r="H38" s="18">
        <v>128.0</v>
      </c>
      <c r="I38" s="18">
        <v>32.0</v>
      </c>
      <c r="J38" s="18">
        <v>22.0</v>
      </c>
      <c r="K38" s="18">
        <v>15.0</v>
      </c>
      <c r="L38" s="19">
        <v>587.0</v>
      </c>
      <c r="M38" s="26">
        <v>1.054</v>
      </c>
      <c r="N38" s="22" t="s">
        <v>62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7">
        <v>28.0</v>
      </c>
      <c r="B39" s="23">
        <v>5.0</v>
      </c>
      <c r="C39" s="23">
        <v>3.0</v>
      </c>
      <c r="D39" s="23">
        <v>6.0</v>
      </c>
      <c r="E39" s="18">
        <v>12.0</v>
      </c>
      <c r="F39" s="18">
        <v>12.0</v>
      </c>
      <c r="G39" s="23">
        <v>4.0</v>
      </c>
      <c r="H39" s="18">
        <v>494.0</v>
      </c>
      <c r="I39" s="23">
        <v>2.0</v>
      </c>
      <c r="J39" s="23">
        <v>4.0</v>
      </c>
      <c r="K39" s="23">
        <v>1.0</v>
      </c>
      <c r="L39" s="19">
        <v>543.0</v>
      </c>
      <c r="M39" s="26">
        <v>0.975</v>
      </c>
      <c r="N39" s="22" t="s">
        <v>63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7">
        <v>29.0</v>
      </c>
      <c r="B40" s="18">
        <v>47.0</v>
      </c>
      <c r="C40" s="18">
        <v>34.0</v>
      </c>
      <c r="D40" s="18">
        <v>60.0</v>
      </c>
      <c r="E40" s="18">
        <v>49.0</v>
      </c>
      <c r="F40" s="18">
        <v>43.0</v>
      </c>
      <c r="G40" s="18">
        <v>18.0</v>
      </c>
      <c r="H40" s="18">
        <v>39.0</v>
      </c>
      <c r="I40" s="18">
        <v>34.0</v>
      </c>
      <c r="J40" s="18">
        <v>12.0</v>
      </c>
      <c r="K40" s="23">
        <v>7.0</v>
      </c>
      <c r="L40" s="19">
        <v>343.0</v>
      </c>
      <c r="M40" s="26">
        <v>0.616</v>
      </c>
      <c r="N40" s="22" t="s">
        <v>64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4" t="s">
        <v>65</v>
      </c>
      <c r="B41" s="23">
        <v>0.0</v>
      </c>
      <c r="C41" s="23">
        <v>0.0</v>
      </c>
      <c r="D41" s="23">
        <v>0.0</v>
      </c>
      <c r="E41" s="23">
        <v>2.0</v>
      </c>
      <c r="F41" s="23">
        <v>2.0</v>
      </c>
      <c r="G41" s="23">
        <v>2.0</v>
      </c>
      <c r="H41" s="23">
        <v>2.0</v>
      </c>
      <c r="I41" s="18">
        <v>200.0</v>
      </c>
      <c r="J41" s="23">
        <v>5.0</v>
      </c>
      <c r="K41" s="23">
        <v>0.0</v>
      </c>
      <c r="L41" s="19">
        <v>213.0</v>
      </c>
      <c r="M41" s="26">
        <v>0.382</v>
      </c>
      <c r="N41" s="25" t="s">
        <v>66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7">
        <v>31.0</v>
      </c>
      <c r="B42" s="18">
        <v>208.0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1.0</v>
      </c>
      <c r="I42" s="23">
        <v>0.0</v>
      </c>
      <c r="J42" s="23">
        <v>0.0</v>
      </c>
      <c r="K42" s="23">
        <v>0.0</v>
      </c>
      <c r="L42" s="19">
        <v>209.0</v>
      </c>
      <c r="M42" s="26">
        <v>0.375</v>
      </c>
      <c r="N42" s="22" t="s">
        <v>67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>
        <v>32.0</v>
      </c>
      <c r="B43" s="23">
        <v>0.0</v>
      </c>
      <c r="C43" s="23">
        <v>1.0</v>
      </c>
      <c r="D43" s="23">
        <v>7.0</v>
      </c>
      <c r="E43" s="18">
        <v>184.0</v>
      </c>
      <c r="F43" s="23">
        <v>1.0</v>
      </c>
      <c r="G43" s="23">
        <v>0.0</v>
      </c>
      <c r="H43" s="23">
        <v>2.0</v>
      </c>
      <c r="I43" s="23">
        <v>0.0</v>
      </c>
      <c r="J43" s="23">
        <v>1.0</v>
      </c>
      <c r="K43" s="23">
        <v>0.0</v>
      </c>
      <c r="L43" s="19">
        <v>196.0</v>
      </c>
      <c r="M43" s="26">
        <v>0.352</v>
      </c>
      <c r="N43" s="22" t="s">
        <v>68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4" t="s">
        <v>69</v>
      </c>
      <c r="B44" s="23">
        <v>4.0</v>
      </c>
      <c r="C44" s="23">
        <v>0.0</v>
      </c>
      <c r="D44" s="23">
        <v>0.0</v>
      </c>
      <c r="E44" s="23">
        <v>7.0</v>
      </c>
      <c r="F44" s="18">
        <v>17.0</v>
      </c>
      <c r="G44" s="18">
        <v>31.0</v>
      </c>
      <c r="H44" s="23">
        <v>0.0</v>
      </c>
      <c r="I44" s="18">
        <v>58.0</v>
      </c>
      <c r="J44" s="18">
        <v>53.0</v>
      </c>
      <c r="K44" s="18">
        <v>16.0</v>
      </c>
      <c r="L44" s="19">
        <v>186.0</v>
      </c>
      <c r="M44" s="26">
        <v>0.334</v>
      </c>
      <c r="N44" s="27" t="s">
        <v>70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>
        <v>34.0</v>
      </c>
      <c r="B45" s="23">
        <v>8.0</v>
      </c>
      <c r="C45" s="23">
        <v>0.0</v>
      </c>
      <c r="D45" s="23">
        <v>0.0</v>
      </c>
      <c r="E45" s="23">
        <v>2.0</v>
      </c>
      <c r="F45" s="18">
        <v>68.0</v>
      </c>
      <c r="G45" s="18">
        <v>20.0</v>
      </c>
      <c r="H45" s="23">
        <v>3.0</v>
      </c>
      <c r="I45" s="18">
        <v>18.0</v>
      </c>
      <c r="J45" s="18">
        <v>62.0</v>
      </c>
      <c r="K45" s="23">
        <v>3.0</v>
      </c>
      <c r="L45" s="19">
        <v>184.0</v>
      </c>
      <c r="M45" s="26">
        <v>0.33</v>
      </c>
      <c r="N45" s="22" t="s">
        <v>71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7">
        <v>35.0</v>
      </c>
      <c r="B46" s="18">
        <v>162.0</v>
      </c>
      <c r="C46" s="23">
        <v>0.0</v>
      </c>
      <c r="D46" s="23">
        <v>0.0</v>
      </c>
      <c r="E46" s="23">
        <v>1.0</v>
      </c>
      <c r="F46" s="23">
        <v>0.0</v>
      </c>
      <c r="G46" s="23">
        <v>0.0</v>
      </c>
      <c r="H46" s="23">
        <v>1.0</v>
      </c>
      <c r="I46" s="23">
        <v>0.0</v>
      </c>
      <c r="J46" s="23">
        <v>1.0</v>
      </c>
      <c r="K46" s="23">
        <v>0.0</v>
      </c>
      <c r="L46" s="19">
        <v>165.0</v>
      </c>
      <c r="M46" s="26">
        <v>0.296</v>
      </c>
      <c r="N46" s="22" t="s">
        <v>72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4" t="s">
        <v>73</v>
      </c>
      <c r="B47" s="18">
        <v>10.0</v>
      </c>
      <c r="C47" s="23">
        <v>1.0</v>
      </c>
      <c r="D47" s="23">
        <v>1.0</v>
      </c>
      <c r="E47" s="23">
        <v>7.0</v>
      </c>
      <c r="F47" s="18">
        <v>21.0</v>
      </c>
      <c r="G47" s="18">
        <v>22.0</v>
      </c>
      <c r="H47" s="23">
        <v>6.0</v>
      </c>
      <c r="I47" s="18">
        <v>25.0</v>
      </c>
      <c r="J47" s="18">
        <v>26.0</v>
      </c>
      <c r="K47" s="18">
        <v>26.0</v>
      </c>
      <c r="L47" s="19">
        <v>145.0</v>
      </c>
      <c r="M47" s="26">
        <v>0.26</v>
      </c>
      <c r="N47" s="25" t="s">
        <v>74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7">
        <v>37.0</v>
      </c>
      <c r="B48" s="23">
        <v>6.0</v>
      </c>
      <c r="C48" s="23">
        <v>0.0</v>
      </c>
      <c r="D48" s="23">
        <v>2.0</v>
      </c>
      <c r="E48" s="18">
        <v>23.0</v>
      </c>
      <c r="F48" s="23">
        <v>4.0</v>
      </c>
      <c r="G48" s="23">
        <v>0.0</v>
      </c>
      <c r="H48" s="18">
        <v>71.0</v>
      </c>
      <c r="I48" s="23">
        <v>5.0</v>
      </c>
      <c r="J48" s="23">
        <v>0.0</v>
      </c>
      <c r="K48" s="23">
        <v>0.0</v>
      </c>
      <c r="L48" s="19">
        <v>111.0</v>
      </c>
      <c r="M48" s="26">
        <v>0.199</v>
      </c>
      <c r="N48" s="22" t="s">
        <v>75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>
        <v>38.0</v>
      </c>
      <c r="B49" s="23">
        <v>0.0</v>
      </c>
      <c r="C49" s="23">
        <v>0.0</v>
      </c>
      <c r="D49" s="23">
        <v>0.0</v>
      </c>
      <c r="E49" s="23">
        <v>1.0</v>
      </c>
      <c r="F49" s="23">
        <v>0.0</v>
      </c>
      <c r="G49" s="23">
        <v>0.0</v>
      </c>
      <c r="H49" s="18">
        <v>104.0</v>
      </c>
      <c r="I49" s="23">
        <v>0.0</v>
      </c>
      <c r="J49" s="23">
        <v>0.0</v>
      </c>
      <c r="K49" s="23">
        <v>0.0</v>
      </c>
      <c r="L49" s="19">
        <v>105.0</v>
      </c>
      <c r="M49" s="26">
        <v>0.189</v>
      </c>
      <c r="N49" s="22" t="s">
        <v>76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7">
        <v>39.0</v>
      </c>
      <c r="B50" s="23">
        <v>0.0</v>
      </c>
      <c r="C50" s="18">
        <v>74.0</v>
      </c>
      <c r="D50" s="23">
        <v>4.0</v>
      </c>
      <c r="E50" s="23">
        <v>2.0</v>
      </c>
      <c r="F50" s="23">
        <v>0.0</v>
      </c>
      <c r="G50" s="23">
        <v>7.0</v>
      </c>
      <c r="H50" s="23">
        <v>1.0</v>
      </c>
      <c r="I50" s="23">
        <v>1.0</v>
      </c>
      <c r="J50" s="23">
        <v>0.0</v>
      </c>
      <c r="K50" s="23">
        <v>1.0</v>
      </c>
      <c r="L50" s="19">
        <v>90.0</v>
      </c>
      <c r="M50" s="26">
        <v>0.162</v>
      </c>
      <c r="N50" s="22" t="s">
        <v>77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4" t="s">
        <v>78</v>
      </c>
      <c r="B51" s="23">
        <v>0.0</v>
      </c>
      <c r="C51" s="23">
        <v>0.0</v>
      </c>
      <c r="D51" s="23">
        <v>0.0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v>0.0</v>
      </c>
      <c r="K51" s="18">
        <v>84.0</v>
      </c>
      <c r="L51" s="19">
        <v>84.0</v>
      </c>
      <c r="M51" s="26">
        <v>0.151</v>
      </c>
      <c r="N51" s="27" t="s">
        <v>79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7">
        <v>41.0</v>
      </c>
      <c r="B52" s="23">
        <v>2.0</v>
      </c>
      <c r="C52" s="23">
        <v>0.0</v>
      </c>
      <c r="D52" s="23">
        <v>4.0</v>
      </c>
      <c r="E52" s="23">
        <v>1.0</v>
      </c>
      <c r="F52" s="18">
        <v>30.0</v>
      </c>
      <c r="G52" s="23">
        <v>0.0</v>
      </c>
      <c r="H52" s="18">
        <v>34.0</v>
      </c>
      <c r="I52" s="23">
        <v>1.0</v>
      </c>
      <c r="J52" s="23">
        <v>4.0</v>
      </c>
      <c r="K52" s="23">
        <v>0.0</v>
      </c>
      <c r="L52" s="19">
        <v>76.0</v>
      </c>
      <c r="M52" s="26">
        <v>0.136</v>
      </c>
      <c r="N52" s="22" t="s">
        <v>80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8">
        <v>42.0</v>
      </c>
      <c r="B53" s="29">
        <v>0.0</v>
      </c>
      <c r="C53" s="29">
        <v>0.0</v>
      </c>
      <c r="D53" s="29">
        <v>0.0</v>
      </c>
      <c r="E53" s="29">
        <v>0.0</v>
      </c>
      <c r="F53" s="29">
        <v>0.0</v>
      </c>
      <c r="G53" s="29">
        <v>0.0</v>
      </c>
      <c r="H53" s="29">
        <v>0.0</v>
      </c>
      <c r="I53" s="29">
        <v>2.0</v>
      </c>
      <c r="J53" s="29">
        <v>0.0</v>
      </c>
      <c r="K53" s="29">
        <v>0.0</v>
      </c>
      <c r="L53" s="30">
        <v>2.0</v>
      </c>
      <c r="M53" s="31">
        <v>0.004</v>
      </c>
      <c r="N53" s="32" t="s">
        <v>43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3" t="s">
        <v>81</v>
      </c>
      <c r="B54" s="18">
        <v>4375.0</v>
      </c>
      <c r="C54" s="18">
        <v>6364.0</v>
      </c>
      <c r="D54" s="18">
        <v>1990.0</v>
      </c>
      <c r="E54" s="18">
        <v>7059.0</v>
      </c>
      <c r="F54" s="18">
        <v>7207.0</v>
      </c>
      <c r="G54" s="18">
        <v>4735.0</v>
      </c>
      <c r="H54" s="18">
        <v>5959.0</v>
      </c>
      <c r="I54" s="18">
        <v>5914.0</v>
      </c>
      <c r="J54" s="18">
        <v>8054.0</v>
      </c>
      <c r="K54" s="18">
        <v>4045.0</v>
      </c>
      <c r="L54" s="34">
        <f>SUM(L12:L53)</f>
        <v>55702</v>
      </c>
      <c r="M54" s="22" t="s">
        <v>43</v>
      </c>
      <c r="N54" s="22" t="s">
        <v>43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3" t="s">
        <v>82</v>
      </c>
      <c r="B55" s="18">
        <v>4375.0</v>
      </c>
      <c r="C55" s="18">
        <v>6364.0</v>
      </c>
      <c r="D55" s="18">
        <v>1990.0</v>
      </c>
      <c r="E55" s="18">
        <v>7059.0</v>
      </c>
      <c r="F55" s="18">
        <v>7207.0</v>
      </c>
      <c r="G55" s="18">
        <v>4735.0</v>
      </c>
      <c r="H55" s="18">
        <v>5959.0</v>
      </c>
      <c r="I55" s="18">
        <v>5914.0</v>
      </c>
      <c r="J55" s="18">
        <v>8054.0</v>
      </c>
      <c r="K55" s="18">
        <v>4045.0</v>
      </c>
      <c r="L55" s="22" t="s">
        <v>43</v>
      </c>
      <c r="M55" s="22" t="s">
        <v>43</v>
      </c>
      <c r="N55" s="22" t="s">
        <v>43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3" t="s">
        <v>83</v>
      </c>
      <c r="B56" s="18">
        <v>100.0</v>
      </c>
      <c r="C56" s="18">
        <v>100.0</v>
      </c>
      <c r="D56" s="18">
        <v>100.0</v>
      </c>
      <c r="E56" s="18">
        <v>100.0</v>
      </c>
      <c r="F56" s="18">
        <v>100.0</v>
      </c>
      <c r="G56" s="18">
        <v>100.0</v>
      </c>
      <c r="H56" s="18">
        <v>100.0</v>
      </c>
      <c r="I56" s="18">
        <v>100.0</v>
      </c>
      <c r="J56" s="18">
        <v>100.0</v>
      </c>
      <c r="K56" s="18">
        <v>100.0</v>
      </c>
      <c r="L56" s="22" t="s">
        <v>43</v>
      </c>
      <c r="M56" s="22" t="s">
        <v>43</v>
      </c>
      <c r="N56" s="22" t="s">
        <v>43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" t="s">
        <v>84</v>
      </c>
      <c r="B65" s="13" t="s">
        <v>14</v>
      </c>
      <c r="C65" s="14" t="s">
        <v>15</v>
      </c>
      <c r="D65" s="14" t="s">
        <v>16</v>
      </c>
      <c r="E65" s="14" t="s">
        <v>17</v>
      </c>
      <c r="F65" s="14" t="s">
        <v>18</v>
      </c>
      <c r="G65" s="14" t="s">
        <v>19</v>
      </c>
      <c r="H65" s="14" t="s">
        <v>20</v>
      </c>
      <c r="I65" s="14" t="s">
        <v>21</v>
      </c>
      <c r="J65" s="14" t="s">
        <v>22</v>
      </c>
      <c r="K65" s="14" t="s">
        <v>23</v>
      </c>
      <c r="L65" s="14" t="s">
        <v>24</v>
      </c>
      <c r="M65" s="15" t="s">
        <v>25</v>
      </c>
      <c r="N65" s="14" t="s">
        <v>26</v>
      </c>
      <c r="O65" s="16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4" t="s">
        <v>31</v>
      </c>
      <c r="B66" s="35">
        <v>59.0</v>
      </c>
      <c r="C66" s="18">
        <v>6.0</v>
      </c>
      <c r="D66" s="18">
        <v>2.0</v>
      </c>
      <c r="E66" s="18">
        <v>149.0</v>
      </c>
      <c r="F66" s="18">
        <v>267.0</v>
      </c>
      <c r="G66" s="18">
        <v>573.0</v>
      </c>
      <c r="H66" s="18">
        <v>19.0</v>
      </c>
      <c r="I66" s="18">
        <v>779.0</v>
      </c>
      <c r="J66" s="18">
        <v>596.0</v>
      </c>
      <c r="K66" s="18">
        <v>321.0</v>
      </c>
      <c r="L66" s="19">
        <v>2771.0</v>
      </c>
      <c r="M66" s="20">
        <v>4.975</v>
      </c>
      <c r="N66" s="25" t="s">
        <v>32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4" t="s">
        <v>34</v>
      </c>
      <c r="B67" s="18">
        <v>144.0</v>
      </c>
      <c r="C67" s="18">
        <v>2.0</v>
      </c>
      <c r="D67" s="18">
        <v>3.0</v>
      </c>
      <c r="E67" s="18">
        <v>7.0</v>
      </c>
      <c r="F67" s="18">
        <v>798.0</v>
      </c>
      <c r="G67" s="18">
        <v>319.0</v>
      </c>
      <c r="H67" s="18">
        <v>14.0</v>
      </c>
      <c r="I67" s="18">
        <v>418.0</v>
      </c>
      <c r="J67" s="18">
        <v>286.0</v>
      </c>
      <c r="K67" s="18">
        <v>619.0</v>
      </c>
      <c r="L67" s="19">
        <v>2610.0</v>
      </c>
      <c r="M67" s="20">
        <v>4.686</v>
      </c>
      <c r="N67" s="25" t="s">
        <v>35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4" t="s">
        <v>38</v>
      </c>
      <c r="B68" s="18">
        <v>78.0</v>
      </c>
      <c r="C68" s="36">
        <v>0.0</v>
      </c>
      <c r="D68" s="18">
        <v>1.0</v>
      </c>
      <c r="E68" s="18">
        <v>4.0</v>
      </c>
      <c r="F68" s="18">
        <v>290.0</v>
      </c>
      <c r="G68" s="18">
        <v>300.0</v>
      </c>
      <c r="H68" s="18">
        <v>11.0</v>
      </c>
      <c r="I68" s="18">
        <v>532.0</v>
      </c>
      <c r="J68" s="18">
        <v>799.0</v>
      </c>
      <c r="K68" s="18">
        <v>329.0</v>
      </c>
      <c r="L68" s="19">
        <v>2344.0</v>
      </c>
      <c r="M68" s="20">
        <v>4.208</v>
      </c>
      <c r="N68" s="25" t="s">
        <v>39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4" t="s">
        <v>40</v>
      </c>
      <c r="B69" s="18">
        <v>47.0</v>
      </c>
      <c r="C69" s="18">
        <v>28.0</v>
      </c>
      <c r="D69" s="18">
        <v>17.0</v>
      </c>
      <c r="E69" s="18">
        <v>13.0</v>
      </c>
      <c r="F69" s="18">
        <v>700.0</v>
      </c>
      <c r="G69" s="18">
        <v>162.0</v>
      </c>
      <c r="H69" s="18">
        <v>30.0</v>
      </c>
      <c r="I69" s="18">
        <v>151.0</v>
      </c>
      <c r="J69" s="18">
        <v>583.0</v>
      </c>
      <c r="K69" s="18">
        <v>481.0</v>
      </c>
      <c r="L69" s="19">
        <v>2212.0</v>
      </c>
      <c r="M69" s="20">
        <v>3.971</v>
      </c>
      <c r="N69" s="25" t="s">
        <v>41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4" t="s">
        <v>44</v>
      </c>
      <c r="B70" s="18">
        <v>32.0</v>
      </c>
      <c r="C70" s="18">
        <v>40.0</v>
      </c>
      <c r="D70" s="18">
        <v>12.0</v>
      </c>
      <c r="E70" s="18">
        <v>13.0</v>
      </c>
      <c r="F70" s="18">
        <v>193.0</v>
      </c>
      <c r="G70" s="18">
        <v>182.0</v>
      </c>
      <c r="H70" s="18">
        <v>8.0</v>
      </c>
      <c r="I70" s="18">
        <v>550.0</v>
      </c>
      <c r="J70" s="18">
        <v>744.0</v>
      </c>
      <c r="K70" s="18">
        <v>252.0</v>
      </c>
      <c r="L70" s="19">
        <v>2026.0</v>
      </c>
      <c r="M70" s="20">
        <v>3.637</v>
      </c>
      <c r="N70" s="25" t="s">
        <v>45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4" t="s">
        <v>47</v>
      </c>
      <c r="B71" s="18">
        <v>15.0</v>
      </c>
      <c r="C71" s="36">
        <v>0.0</v>
      </c>
      <c r="D71" s="36">
        <v>0.0</v>
      </c>
      <c r="E71" s="18">
        <v>3.0</v>
      </c>
      <c r="F71" s="18">
        <v>175.0</v>
      </c>
      <c r="G71" s="18">
        <v>361.0</v>
      </c>
      <c r="H71" s="18">
        <v>4.0</v>
      </c>
      <c r="I71" s="18">
        <v>323.0</v>
      </c>
      <c r="J71" s="18">
        <v>650.0</v>
      </c>
      <c r="K71" s="18">
        <v>76.0</v>
      </c>
      <c r="L71" s="19">
        <v>1607.0</v>
      </c>
      <c r="M71" s="20">
        <v>2.885</v>
      </c>
      <c r="N71" s="25" t="s">
        <v>48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4" t="s">
        <v>50</v>
      </c>
      <c r="B72" s="18">
        <v>27.0</v>
      </c>
      <c r="C72" s="18">
        <v>9.0</v>
      </c>
      <c r="D72" s="18">
        <v>1.0</v>
      </c>
      <c r="E72" s="18">
        <v>92.0</v>
      </c>
      <c r="F72" s="18">
        <v>76.0</v>
      </c>
      <c r="G72" s="18">
        <v>185.0</v>
      </c>
      <c r="H72" s="18">
        <v>11.0</v>
      </c>
      <c r="I72" s="18">
        <v>300.0</v>
      </c>
      <c r="J72" s="18">
        <v>714.0</v>
      </c>
      <c r="K72" s="18">
        <v>120.0</v>
      </c>
      <c r="L72" s="19">
        <v>1535.0</v>
      </c>
      <c r="M72" s="20">
        <v>2.756</v>
      </c>
      <c r="N72" s="25" t="s">
        <v>51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4" t="s">
        <v>56</v>
      </c>
      <c r="B73" s="18">
        <v>20.0</v>
      </c>
      <c r="C73" s="18">
        <v>19.0</v>
      </c>
      <c r="D73" s="18">
        <v>30.0</v>
      </c>
      <c r="E73" s="18">
        <v>176.0</v>
      </c>
      <c r="F73" s="18">
        <v>71.0</v>
      </c>
      <c r="G73" s="18">
        <v>134.0</v>
      </c>
      <c r="H73" s="18">
        <v>2.0</v>
      </c>
      <c r="I73" s="18">
        <v>341.0</v>
      </c>
      <c r="J73" s="18">
        <v>421.0</v>
      </c>
      <c r="K73" s="18">
        <v>55.0</v>
      </c>
      <c r="L73" s="19">
        <v>1269.0</v>
      </c>
      <c r="M73" s="20">
        <v>2.278</v>
      </c>
      <c r="N73" s="25" t="s">
        <v>57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4" t="s">
        <v>58</v>
      </c>
      <c r="B74" s="18">
        <v>4.0</v>
      </c>
      <c r="C74" s="18">
        <v>3.0</v>
      </c>
      <c r="D74" s="36">
        <v>0.0</v>
      </c>
      <c r="E74" s="18">
        <v>1.0</v>
      </c>
      <c r="F74" s="18">
        <v>166.0</v>
      </c>
      <c r="G74" s="18">
        <v>29.0</v>
      </c>
      <c r="H74" s="18">
        <v>1.0</v>
      </c>
      <c r="I74" s="18">
        <v>27.0</v>
      </c>
      <c r="J74" s="18">
        <v>581.0</v>
      </c>
      <c r="K74" s="18">
        <v>13.0</v>
      </c>
      <c r="L74" s="19">
        <v>825.0</v>
      </c>
      <c r="M74" s="20">
        <v>1.481</v>
      </c>
      <c r="N74" s="25" t="s">
        <v>59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4" t="s">
        <v>65</v>
      </c>
      <c r="B75" s="36">
        <v>0.0</v>
      </c>
      <c r="C75" s="36">
        <v>0.0</v>
      </c>
      <c r="D75" s="36">
        <v>0.0</v>
      </c>
      <c r="E75" s="18">
        <v>2.0</v>
      </c>
      <c r="F75" s="18">
        <v>2.0</v>
      </c>
      <c r="G75" s="18">
        <v>2.0</v>
      </c>
      <c r="H75" s="18">
        <v>2.0</v>
      </c>
      <c r="I75" s="18">
        <v>200.0</v>
      </c>
      <c r="J75" s="18">
        <v>5.0</v>
      </c>
      <c r="K75" s="36">
        <v>0.0</v>
      </c>
      <c r="L75" s="19">
        <v>213.0</v>
      </c>
      <c r="M75" s="37">
        <v>0.382</v>
      </c>
      <c r="N75" s="25" t="s">
        <v>66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4" t="s">
        <v>69</v>
      </c>
      <c r="B76" s="18">
        <v>4.0</v>
      </c>
      <c r="C76" s="36">
        <v>0.0</v>
      </c>
      <c r="D76" s="36">
        <v>0.0</v>
      </c>
      <c r="E76" s="18">
        <v>7.0</v>
      </c>
      <c r="F76" s="18">
        <v>17.0</v>
      </c>
      <c r="G76" s="18">
        <v>31.0</v>
      </c>
      <c r="H76" s="36">
        <v>0.0</v>
      </c>
      <c r="I76" s="18">
        <v>58.0</v>
      </c>
      <c r="J76" s="18">
        <v>53.0</v>
      </c>
      <c r="K76" s="18">
        <v>16.0</v>
      </c>
      <c r="L76" s="19">
        <v>186.0</v>
      </c>
      <c r="M76" s="37">
        <v>0.334</v>
      </c>
      <c r="N76" s="27" t="s">
        <v>70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4" t="s">
        <v>73</v>
      </c>
      <c r="B77" s="18">
        <v>10.0</v>
      </c>
      <c r="C77" s="18">
        <v>1.0</v>
      </c>
      <c r="D77" s="18">
        <v>1.0</v>
      </c>
      <c r="E77" s="18">
        <v>7.0</v>
      </c>
      <c r="F77" s="18">
        <v>21.0</v>
      </c>
      <c r="G77" s="18">
        <v>22.0</v>
      </c>
      <c r="H77" s="18">
        <v>6.0</v>
      </c>
      <c r="I77" s="18">
        <v>25.0</v>
      </c>
      <c r="J77" s="18">
        <v>26.0</v>
      </c>
      <c r="K77" s="18">
        <v>26.0</v>
      </c>
      <c r="L77" s="19">
        <v>145.0</v>
      </c>
      <c r="M77" s="37">
        <v>0.26</v>
      </c>
      <c r="N77" s="25" t="s">
        <v>74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8" t="s">
        <v>78</v>
      </c>
      <c r="B78" s="29">
        <v>0.0</v>
      </c>
      <c r="C78" s="29">
        <v>0.0</v>
      </c>
      <c r="D78" s="29">
        <v>0.0</v>
      </c>
      <c r="E78" s="29">
        <v>0.0</v>
      </c>
      <c r="F78" s="29">
        <v>0.0</v>
      </c>
      <c r="G78" s="29">
        <v>0.0</v>
      </c>
      <c r="H78" s="29">
        <v>0.0</v>
      </c>
      <c r="I78" s="29">
        <v>0.0</v>
      </c>
      <c r="J78" s="29">
        <v>0.0</v>
      </c>
      <c r="K78" s="39">
        <v>84.0</v>
      </c>
      <c r="L78" s="30">
        <v>84.0</v>
      </c>
      <c r="M78" s="31">
        <v>0.151</v>
      </c>
      <c r="N78" s="40" t="s">
        <v>79</v>
      </c>
      <c r="O78" s="41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2" t="s">
        <v>81</v>
      </c>
      <c r="B79" s="18">
        <v>440.0</v>
      </c>
      <c r="C79" s="18">
        <v>108.0</v>
      </c>
      <c r="D79" s="18">
        <v>67.0</v>
      </c>
      <c r="E79" s="18">
        <v>474.0</v>
      </c>
      <c r="F79" s="18">
        <v>2776.0</v>
      </c>
      <c r="G79" s="18">
        <v>2300.0</v>
      </c>
      <c r="H79" s="18">
        <v>108.0</v>
      </c>
      <c r="I79" s="18">
        <v>3704.0</v>
      </c>
      <c r="J79" s="18">
        <v>5458.0</v>
      </c>
      <c r="K79" s="18">
        <v>2392.0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2" t="s">
        <v>82</v>
      </c>
      <c r="B80" s="18">
        <v>4375.0</v>
      </c>
      <c r="C80" s="18">
        <v>6364.0</v>
      </c>
      <c r="D80" s="18">
        <v>1990.0</v>
      </c>
      <c r="E80" s="18">
        <v>7059.0</v>
      </c>
      <c r="F80" s="18">
        <v>7207.0</v>
      </c>
      <c r="G80" s="18">
        <v>4735.0</v>
      </c>
      <c r="H80" s="18">
        <v>5959.0</v>
      </c>
      <c r="I80" s="18">
        <v>5914.0</v>
      </c>
      <c r="J80" s="18">
        <v>8054.0</v>
      </c>
      <c r="K80" s="18">
        <v>4045.0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2" t="s">
        <v>83</v>
      </c>
      <c r="B81" s="18">
        <v>10.1</v>
      </c>
      <c r="C81" s="18">
        <v>1.7</v>
      </c>
      <c r="D81" s="18">
        <v>3.4</v>
      </c>
      <c r="E81" s="18">
        <v>6.7</v>
      </c>
      <c r="F81" s="18">
        <v>38.5</v>
      </c>
      <c r="G81" s="18">
        <v>48.6</v>
      </c>
      <c r="H81" s="18">
        <v>1.8</v>
      </c>
      <c r="I81" s="18">
        <v>62.6</v>
      </c>
      <c r="J81" s="18">
        <v>67.8</v>
      </c>
      <c r="K81" s="18">
        <v>59.1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drawing r:id="rId1"/>
</worksheet>
</file>